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smos tools python\parser\metrics\"/>
    </mc:Choice>
  </mc:AlternateContent>
  <bookViews>
    <workbookView xWindow="0" yWindow="0" windowWidth="19176" windowHeight="6492"/>
  </bookViews>
  <sheets>
    <sheet name="Overall" sheetId="1" r:id="rId1"/>
    <sheet name="TrustedPoi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9" i="1"/>
  <c r="E12" i="1"/>
  <c r="E3" i="1"/>
  <c r="D94" i="2"/>
  <c r="D49" i="2"/>
  <c r="D40" i="2"/>
  <c r="D3" i="2"/>
  <c r="D4" i="2"/>
  <c r="D5" i="2"/>
  <c r="D6" i="2"/>
  <c r="D7" i="2"/>
  <c r="D8" i="2"/>
  <c r="D9" i="2"/>
  <c r="D10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2" i="2"/>
  <c r="F5" i="1"/>
  <c r="H14" i="1"/>
  <c r="H11" i="1"/>
  <c r="H8" i="1"/>
  <c r="H5" i="1"/>
  <c r="J14" i="1"/>
  <c r="F14" i="1"/>
  <c r="J11" i="1"/>
  <c r="F11" i="1"/>
  <c r="J8" i="1"/>
  <c r="F8" i="1"/>
  <c r="J5" i="1"/>
</calcChain>
</file>

<file path=xl/sharedStrings.xml><?xml version="1.0" encoding="utf-8"?>
<sst xmlns="http://schemas.openxmlformats.org/spreadsheetml/2006/main" count="50" uniqueCount="21">
  <si>
    <t>Validator Address</t>
  </si>
  <si>
    <t>storyvaloper12s7mczq0gsvzyav5sleje29pped8mpgcprr9r2</t>
  </si>
  <si>
    <t>Signed #</t>
  </si>
  <si>
    <t>Missed #</t>
  </si>
  <si>
    <t>Total Slashes #</t>
  </si>
  <si>
    <t>Moniker</t>
  </si>
  <si>
    <t>TrustedPoint</t>
  </si>
  <si>
    <t>Nodes.Guru</t>
  </si>
  <si>
    <t>Luganodes</t>
  </si>
  <si>
    <t>Stakin</t>
  </si>
  <si>
    <t>Tombstoned</t>
  </si>
  <si>
    <t>False</t>
  </si>
  <si>
    <t>True</t>
  </si>
  <si>
    <t>1100245-1102456</t>
  </si>
  <si>
    <t>Signed</t>
  </si>
  <si>
    <t>Date</t>
  </si>
  <si>
    <t>Missed</t>
  </si>
  <si>
    <t>Uptime</t>
  </si>
  <si>
    <t>Overall</t>
  </si>
  <si>
    <t>Blocks Range &gt;&gt;&gt;</t>
  </si>
  <si>
    <t>https://stackoverflow.com/questions/37434227/how-to-open-xlsx-file-with-python-3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</si>
</sst>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8"/>
      <color rgb="FF00B05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0" fontId="0" fillId="0" borderId="0" xfId="0" applyNumberFormat="1"/>
    <xf numFmtId="10" fontId="1" fillId="0" borderId="6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right"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right" vertical="center" wrapText="1"/>
    </xf>
    <xf numFmtId="14" fontId="7" fillId="0" borderId="3" xfId="0" applyNumberFormat="1" applyFont="1" applyFill="1" applyBorder="1" applyAlignment="1">
      <alignment horizontal="center" vertical="top" wrapText="1"/>
    </xf>
    <xf numFmtId="14" fontId="7" fillId="0" borderId="2" xfId="0" applyNumberFormat="1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0" fontId="2" fillId="5" borderId="14" xfId="0" applyNumberFormat="1" applyFont="1" applyFill="1" applyBorder="1" applyAlignment="1">
      <alignment horizontal="center" vertical="center" wrapText="1"/>
    </xf>
    <xf numFmtId="10" fontId="2" fillId="5" borderId="15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top" wrapText="1"/>
    </xf>
    <xf numFmtId="14" fontId="4" fillId="2" borderId="2" xfId="0" applyNumberFormat="1" applyFont="1" applyFill="1" applyBorder="1" applyAlignment="1">
      <alignment horizontal="center" vertical="top" wrapText="1"/>
    </xf>
    <xf numFmtId="10" fontId="2" fillId="5" borderId="3" xfId="0" applyNumberFormat="1" applyFont="1" applyFill="1" applyBorder="1" applyAlignment="1">
      <alignment horizontal="center" vertical="center" wrapText="1"/>
    </xf>
    <xf numFmtId="10" fontId="2" fillId="5" borderId="2" xfId="0" applyNumberFormat="1" applyFont="1" applyFill="1" applyBorder="1" applyAlignment="1">
      <alignment horizontal="center" vertical="center" wrapText="1"/>
    </xf>
    <xf numFmtId="0" fontId="8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TrustedPoint!$C$1</c:f>
              <c:strCache>
                <c:ptCount val="1"/>
                <c:pt idx="0">
                  <c:v>Missed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TrustedPoint!$A$2:$A$50</c:f>
              <c:numCache>
                <c:formatCode>m/d/yyyy</c:formatCode>
                <c:ptCount val="49"/>
                <c:pt idx="0">
                  <c:v>45590</c:v>
                </c:pt>
                <c:pt idx="1">
                  <c:v>45591</c:v>
                </c:pt>
                <c:pt idx="2">
                  <c:v>45592</c:v>
                </c:pt>
                <c:pt idx="3">
                  <c:v>45593</c:v>
                </c:pt>
                <c:pt idx="4">
                  <c:v>45594</c:v>
                </c:pt>
                <c:pt idx="5">
                  <c:v>45595</c:v>
                </c:pt>
                <c:pt idx="6">
                  <c:v>45596</c:v>
                </c:pt>
                <c:pt idx="7">
                  <c:v>45597</c:v>
                </c:pt>
                <c:pt idx="8">
                  <c:v>45598</c:v>
                </c:pt>
                <c:pt idx="9">
                  <c:v>45599</c:v>
                </c:pt>
                <c:pt idx="10">
                  <c:v>45600</c:v>
                </c:pt>
                <c:pt idx="11">
                  <c:v>45601</c:v>
                </c:pt>
                <c:pt idx="12">
                  <c:v>45602</c:v>
                </c:pt>
                <c:pt idx="13">
                  <c:v>45603</c:v>
                </c:pt>
                <c:pt idx="14">
                  <c:v>45604</c:v>
                </c:pt>
                <c:pt idx="15">
                  <c:v>45605</c:v>
                </c:pt>
                <c:pt idx="16">
                  <c:v>45606</c:v>
                </c:pt>
                <c:pt idx="17">
                  <c:v>45607</c:v>
                </c:pt>
                <c:pt idx="18">
                  <c:v>45608</c:v>
                </c:pt>
                <c:pt idx="19">
                  <c:v>45609</c:v>
                </c:pt>
                <c:pt idx="20">
                  <c:v>45610</c:v>
                </c:pt>
                <c:pt idx="21">
                  <c:v>45611</c:v>
                </c:pt>
                <c:pt idx="22">
                  <c:v>45612</c:v>
                </c:pt>
                <c:pt idx="23">
                  <c:v>45613</c:v>
                </c:pt>
                <c:pt idx="24">
                  <c:v>45614</c:v>
                </c:pt>
                <c:pt idx="25">
                  <c:v>45615</c:v>
                </c:pt>
                <c:pt idx="26">
                  <c:v>45616</c:v>
                </c:pt>
                <c:pt idx="27">
                  <c:v>45617</c:v>
                </c:pt>
                <c:pt idx="28">
                  <c:v>45618</c:v>
                </c:pt>
                <c:pt idx="29">
                  <c:v>45619</c:v>
                </c:pt>
                <c:pt idx="30">
                  <c:v>45620</c:v>
                </c:pt>
                <c:pt idx="31">
                  <c:v>45621</c:v>
                </c:pt>
                <c:pt idx="32">
                  <c:v>45622</c:v>
                </c:pt>
                <c:pt idx="33">
                  <c:v>45623</c:v>
                </c:pt>
                <c:pt idx="34">
                  <c:v>45624</c:v>
                </c:pt>
                <c:pt idx="35">
                  <c:v>45625</c:v>
                </c:pt>
                <c:pt idx="36">
                  <c:v>45626</c:v>
                </c:pt>
                <c:pt idx="37">
                  <c:v>45627</c:v>
                </c:pt>
                <c:pt idx="38">
                  <c:v>45628</c:v>
                </c:pt>
                <c:pt idx="39">
                  <c:v>45629</c:v>
                </c:pt>
                <c:pt idx="40">
                  <c:v>45630</c:v>
                </c:pt>
                <c:pt idx="41">
                  <c:v>45631</c:v>
                </c:pt>
                <c:pt idx="42">
                  <c:v>45632</c:v>
                </c:pt>
                <c:pt idx="43">
                  <c:v>45633</c:v>
                </c:pt>
                <c:pt idx="44">
                  <c:v>45634</c:v>
                </c:pt>
                <c:pt idx="45">
                  <c:v>45635</c:v>
                </c:pt>
                <c:pt idx="46">
                  <c:v>45636</c:v>
                </c:pt>
                <c:pt idx="47">
                  <c:v>45637</c:v>
                </c:pt>
                <c:pt idx="48">
                  <c:v>45638</c:v>
                </c:pt>
              </c:numCache>
            </c:numRef>
          </c:cat>
          <c:val>
            <c:numRef>
              <c:f>TrustedPoint!$C$2:$C$50</c:f>
              <c:numCache>
                <c:formatCode>General</c:formatCode>
                <c:ptCount val="4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10">
                  <c:v>22</c:v>
                </c:pt>
                <c:pt idx="11">
                  <c:v>24</c:v>
                </c:pt>
                <c:pt idx="12">
                  <c:v>3</c:v>
                </c:pt>
                <c:pt idx="13">
                  <c:v>28</c:v>
                </c:pt>
                <c:pt idx="14">
                  <c:v>30</c:v>
                </c:pt>
                <c:pt idx="15">
                  <c:v>4</c:v>
                </c:pt>
                <c:pt idx="16">
                  <c:v>34</c:v>
                </c:pt>
                <c:pt idx="17">
                  <c:v>5</c:v>
                </c:pt>
                <c:pt idx="18">
                  <c:v>38</c:v>
                </c:pt>
                <c:pt idx="19">
                  <c:v>40</c:v>
                </c:pt>
                <c:pt idx="20">
                  <c:v>112</c:v>
                </c:pt>
                <c:pt idx="21">
                  <c:v>44</c:v>
                </c:pt>
                <c:pt idx="22">
                  <c:v>46</c:v>
                </c:pt>
                <c:pt idx="23">
                  <c:v>4</c:v>
                </c:pt>
                <c:pt idx="24">
                  <c:v>50</c:v>
                </c:pt>
                <c:pt idx="25">
                  <c:v>52</c:v>
                </c:pt>
                <c:pt idx="26">
                  <c:v>3</c:v>
                </c:pt>
                <c:pt idx="27">
                  <c:v>56</c:v>
                </c:pt>
                <c:pt idx="28">
                  <c:v>58</c:v>
                </c:pt>
                <c:pt idx="29">
                  <c:v>8</c:v>
                </c:pt>
                <c:pt idx="30">
                  <c:v>62</c:v>
                </c:pt>
                <c:pt idx="31">
                  <c:v>64</c:v>
                </c:pt>
                <c:pt idx="32">
                  <c:v>6</c:v>
                </c:pt>
                <c:pt idx="33">
                  <c:v>68</c:v>
                </c:pt>
                <c:pt idx="34">
                  <c:v>70</c:v>
                </c:pt>
                <c:pt idx="35">
                  <c:v>1215</c:v>
                </c:pt>
                <c:pt idx="36">
                  <c:v>74</c:v>
                </c:pt>
                <c:pt idx="37">
                  <c:v>76</c:v>
                </c:pt>
                <c:pt idx="38">
                  <c:v>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3-4828-849A-DC837031D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607343"/>
        <c:axId val="341607759"/>
      </c:barChart>
      <c:dateAx>
        <c:axId val="3416073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607759"/>
        <c:crosses val="autoZero"/>
        <c:auto val="1"/>
        <c:lblOffset val="100"/>
        <c:baseTimeUnit val="days"/>
      </c:dateAx>
      <c:valAx>
        <c:axId val="3416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60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TrustedPoint!$D$1</c:f>
              <c:strCache>
                <c:ptCount val="1"/>
                <c:pt idx="0">
                  <c:v>Uptime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TrustedPoint!$A$2:$A$107</c:f>
              <c:numCache>
                <c:formatCode>m/d/yyyy</c:formatCode>
                <c:ptCount val="106"/>
                <c:pt idx="0">
                  <c:v>45590</c:v>
                </c:pt>
                <c:pt idx="1">
                  <c:v>45591</c:v>
                </c:pt>
                <c:pt idx="2">
                  <c:v>45592</c:v>
                </c:pt>
                <c:pt idx="3">
                  <c:v>45593</c:v>
                </c:pt>
                <c:pt idx="4">
                  <c:v>45594</c:v>
                </c:pt>
                <c:pt idx="5">
                  <c:v>45595</c:v>
                </c:pt>
                <c:pt idx="6">
                  <c:v>45596</c:v>
                </c:pt>
                <c:pt idx="7">
                  <c:v>45597</c:v>
                </c:pt>
                <c:pt idx="8">
                  <c:v>45598</c:v>
                </c:pt>
                <c:pt idx="9">
                  <c:v>45599</c:v>
                </c:pt>
                <c:pt idx="10">
                  <c:v>45600</c:v>
                </c:pt>
                <c:pt idx="11">
                  <c:v>45601</c:v>
                </c:pt>
                <c:pt idx="12">
                  <c:v>45602</c:v>
                </c:pt>
                <c:pt idx="13">
                  <c:v>45603</c:v>
                </c:pt>
                <c:pt idx="14">
                  <c:v>45604</c:v>
                </c:pt>
                <c:pt idx="15">
                  <c:v>45605</c:v>
                </c:pt>
                <c:pt idx="16">
                  <c:v>45606</c:v>
                </c:pt>
                <c:pt idx="17">
                  <c:v>45607</c:v>
                </c:pt>
                <c:pt idx="18">
                  <c:v>45608</c:v>
                </c:pt>
                <c:pt idx="19">
                  <c:v>45609</c:v>
                </c:pt>
                <c:pt idx="20">
                  <c:v>45610</c:v>
                </c:pt>
                <c:pt idx="21">
                  <c:v>45611</c:v>
                </c:pt>
                <c:pt idx="22">
                  <c:v>45612</c:v>
                </c:pt>
                <c:pt idx="23">
                  <c:v>45613</c:v>
                </c:pt>
                <c:pt idx="24">
                  <c:v>45614</c:v>
                </c:pt>
                <c:pt idx="25">
                  <c:v>45615</c:v>
                </c:pt>
                <c:pt idx="26">
                  <c:v>45616</c:v>
                </c:pt>
                <c:pt idx="27">
                  <c:v>45617</c:v>
                </c:pt>
                <c:pt idx="28">
                  <c:v>45618</c:v>
                </c:pt>
                <c:pt idx="29">
                  <c:v>45619</c:v>
                </c:pt>
                <c:pt idx="30">
                  <c:v>45620</c:v>
                </c:pt>
                <c:pt idx="31">
                  <c:v>45621</c:v>
                </c:pt>
                <c:pt idx="32">
                  <c:v>45622</c:v>
                </c:pt>
                <c:pt idx="33">
                  <c:v>45623</c:v>
                </c:pt>
                <c:pt idx="34">
                  <c:v>45624</c:v>
                </c:pt>
                <c:pt idx="35">
                  <c:v>45625</c:v>
                </c:pt>
                <c:pt idx="36">
                  <c:v>45626</c:v>
                </c:pt>
                <c:pt idx="37">
                  <c:v>45627</c:v>
                </c:pt>
                <c:pt idx="38">
                  <c:v>45628</c:v>
                </c:pt>
                <c:pt idx="39">
                  <c:v>45629</c:v>
                </c:pt>
                <c:pt idx="40">
                  <c:v>45630</c:v>
                </c:pt>
                <c:pt idx="41">
                  <c:v>45631</c:v>
                </c:pt>
                <c:pt idx="42">
                  <c:v>45632</c:v>
                </c:pt>
                <c:pt idx="43">
                  <c:v>45633</c:v>
                </c:pt>
                <c:pt idx="44">
                  <c:v>45634</c:v>
                </c:pt>
                <c:pt idx="45">
                  <c:v>45635</c:v>
                </c:pt>
                <c:pt idx="46">
                  <c:v>45636</c:v>
                </c:pt>
                <c:pt idx="47">
                  <c:v>45637</c:v>
                </c:pt>
                <c:pt idx="48">
                  <c:v>45638</c:v>
                </c:pt>
                <c:pt idx="49">
                  <c:v>45639</c:v>
                </c:pt>
                <c:pt idx="50">
                  <c:v>45640</c:v>
                </c:pt>
                <c:pt idx="51">
                  <c:v>45641</c:v>
                </c:pt>
                <c:pt idx="52">
                  <c:v>45642</c:v>
                </c:pt>
                <c:pt idx="53">
                  <c:v>45643</c:v>
                </c:pt>
                <c:pt idx="54">
                  <c:v>45644</c:v>
                </c:pt>
                <c:pt idx="55">
                  <c:v>45645</c:v>
                </c:pt>
                <c:pt idx="56">
                  <c:v>45646</c:v>
                </c:pt>
                <c:pt idx="57">
                  <c:v>45647</c:v>
                </c:pt>
                <c:pt idx="58">
                  <c:v>45648</c:v>
                </c:pt>
                <c:pt idx="59">
                  <c:v>45649</c:v>
                </c:pt>
                <c:pt idx="60">
                  <c:v>45650</c:v>
                </c:pt>
                <c:pt idx="61">
                  <c:v>45651</c:v>
                </c:pt>
                <c:pt idx="62">
                  <c:v>45652</c:v>
                </c:pt>
                <c:pt idx="63">
                  <c:v>45653</c:v>
                </c:pt>
                <c:pt idx="64">
                  <c:v>45654</c:v>
                </c:pt>
                <c:pt idx="65">
                  <c:v>45655</c:v>
                </c:pt>
                <c:pt idx="66">
                  <c:v>45656</c:v>
                </c:pt>
                <c:pt idx="67">
                  <c:v>45657</c:v>
                </c:pt>
                <c:pt idx="68">
                  <c:v>45658</c:v>
                </c:pt>
                <c:pt idx="69">
                  <c:v>45659</c:v>
                </c:pt>
                <c:pt idx="70">
                  <c:v>45660</c:v>
                </c:pt>
                <c:pt idx="71">
                  <c:v>45661</c:v>
                </c:pt>
                <c:pt idx="72">
                  <c:v>45662</c:v>
                </c:pt>
                <c:pt idx="73">
                  <c:v>45663</c:v>
                </c:pt>
                <c:pt idx="74">
                  <c:v>45664</c:v>
                </c:pt>
                <c:pt idx="75">
                  <c:v>45665</c:v>
                </c:pt>
                <c:pt idx="76">
                  <c:v>45666</c:v>
                </c:pt>
                <c:pt idx="77">
                  <c:v>45667</c:v>
                </c:pt>
                <c:pt idx="78">
                  <c:v>45668</c:v>
                </c:pt>
                <c:pt idx="79">
                  <c:v>45669</c:v>
                </c:pt>
                <c:pt idx="80">
                  <c:v>45670</c:v>
                </c:pt>
                <c:pt idx="81">
                  <c:v>45671</c:v>
                </c:pt>
                <c:pt idx="82">
                  <c:v>45672</c:v>
                </c:pt>
                <c:pt idx="83">
                  <c:v>45673</c:v>
                </c:pt>
                <c:pt idx="84">
                  <c:v>45674</c:v>
                </c:pt>
                <c:pt idx="85">
                  <c:v>45675</c:v>
                </c:pt>
                <c:pt idx="86">
                  <c:v>45676</c:v>
                </c:pt>
                <c:pt idx="87">
                  <c:v>45677</c:v>
                </c:pt>
                <c:pt idx="88">
                  <c:v>45678</c:v>
                </c:pt>
                <c:pt idx="89">
                  <c:v>45679</c:v>
                </c:pt>
                <c:pt idx="90">
                  <c:v>45680</c:v>
                </c:pt>
                <c:pt idx="91">
                  <c:v>45681</c:v>
                </c:pt>
                <c:pt idx="92">
                  <c:v>45682</c:v>
                </c:pt>
                <c:pt idx="93">
                  <c:v>45683</c:v>
                </c:pt>
                <c:pt idx="94">
                  <c:v>45684</c:v>
                </c:pt>
                <c:pt idx="95">
                  <c:v>45685</c:v>
                </c:pt>
                <c:pt idx="96">
                  <c:v>45686</c:v>
                </c:pt>
                <c:pt idx="97">
                  <c:v>45687</c:v>
                </c:pt>
                <c:pt idx="98">
                  <c:v>45688</c:v>
                </c:pt>
                <c:pt idx="99">
                  <c:v>45689</c:v>
                </c:pt>
                <c:pt idx="100">
                  <c:v>45690</c:v>
                </c:pt>
                <c:pt idx="101">
                  <c:v>45691</c:v>
                </c:pt>
                <c:pt idx="102">
                  <c:v>45692</c:v>
                </c:pt>
                <c:pt idx="103">
                  <c:v>45693</c:v>
                </c:pt>
                <c:pt idx="104">
                  <c:v>45694</c:v>
                </c:pt>
                <c:pt idx="105">
                  <c:v>45695</c:v>
                </c:pt>
              </c:numCache>
            </c:numRef>
          </c:cat>
          <c:val>
            <c:numRef>
              <c:f>TrustedPoint!$D$2:$D$107</c:f>
              <c:numCache>
                <c:formatCode>0.00%</c:formatCode>
                <c:ptCount val="106"/>
                <c:pt idx="0">
                  <c:v>0.98639455782312924</c:v>
                </c:pt>
                <c:pt idx="1">
                  <c:v>0.97385620915032678</c:v>
                </c:pt>
                <c:pt idx="2">
                  <c:v>0.96226415094339623</c:v>
                </c:pt>
                <c:pt idx="3">
                  <c:v>0.95151515151515154</c:v>
                </c:pt>
                <c:pt idx="4">
                  <c:v>0.94152046783625731</c:v>
                </c:pt>
                <c:pt idx="5">
                  <c:v>0.93220338983050843</c:v>
                </c:pt>
                <c:pt idx="6">
                  <c:v>0.92349726775956287</c:v>
                </c:pt>
                <c:pt idx="7">
                  <c:v>0.91534391534391535</c:v>
                </c:pt>
                <c:pt idx="8">
                  <c:v>0.90769230769230769</c:v>
                </c:pt>
                <c:pt idx="10">
                  <c:v>0.893719806763285</c:v>
                </c:pt>
                <c:pt idx="11">
                  <c:v>0.88732394366197187</c:v>
                </c:pt>
                <c:pt idx="12">
                  <c:v>0.98469387755102045</c:v>
                </c:pt>
                <c:pt idx="13">
                  <c:v>0.87555555555555553</c:v>
                </c:pt>
                <c:pt idx="14">
                  <c:v>0.87012987012987009</c:v>
                </c:pt>
                <c:pt idx="15">
                  <c:v>0.98086124401913877</c:v>
                </c:pt>
                <c:pt idx="16">
                  <c:v>0.86008230452674894</c:v>
                </c:pt>
                <c:pt idx="17">
                  <c:v>0.97706422018348627</c:v>
                </c:pt>
                <c:pt idx="18">
                  <c:v>0.85098039215686272</c:v>
                </c:pt>
                <c:pt idx="19">
                  <c:v>0.84674329501915713</c:v>
                </c:pt>
                <c:pt idx="20">
                  <c:v>0.66765578635014833</c:v>
                </c:pt>
                <c:pt idx="21">
                  <c:v>0.83882783882783885</c:v>
                </c:pt>
                <c:pt idx="22">
                  <c:v>0.83512544802867383</c:v>
                </c:pt>
                <c:pt idx="23">
                  <c:v>0.98340248962655596</c:v>
                </c:pt>
                <c:pt idx="24">
                  <c:v>0.82817869415807566</c:v>
                </c:pt>
                <c:pt idx="25">
                  <c:v>0.82491582491582494</c:v>
                </c:pt>
                <c:pt idx="26">
                  <c:v>0.98809523809523814</c:v>
                </c:pt>
                <c:pt idx="27">
                  <c:v>0.81877022653721687</c:v>
                </c:pt>
                <c:pt idx="28">
                  <c:v>0.81587301587301586</c:v>
                </c:pt>
                <c:pt idx="29">
                  <c:v>0.97026022304832715</c:v>
                </c:pt>
                <c:pt idx="30">
                  <c:v>0.81039755351681952</c:v>
                </c:pt>
                <c:pt idx="31">
                  <c:v>0.80780780780780781</c:v>
                </c:pt>
                <c:pt idx="32">
                  <c:v>0.978494623655914</c:v>
                </c:pt>
                <c:pt idx="33">
                  <c:v>0.80289855072463767</c:v>
                </c:pt>
                <c:pt idx="34">
                  <c:v>0.80056980056980054</c:v>
                </c:pt>
                <c:pt idx="35">
                  <c:v>0.19</c:v>
                </c:pt>
                <c:pt idx="36">
                  <c:v>0.79614325068870528</c:v>
                </c:pt>
                <c:pt idx="37">
                  <c:v>0.79403794037940378</c:v>
                </c:pt>
                <c:pt idx="38">
                  <c:v>0.95798319327731096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0.98571428571428577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0.8214285714285714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9-445A-883D-790B9FF72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617311"/>
        <c:axId val="567603167"/>
      </c:lineChart>
      <c:dateAx>
        <c:axId val="5676173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603167"/>
        <c:crosses val="autoZero"/>
        <c:auto val="1"/>
        <c:lblOffset val="100"/>
        <c:baseTimeUnit val="days"/>
      </c:dateAx>
      <c:valAx>
        <c:axId val="5676031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6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TrustedPoint!$B$1</c:f>
              <c:strCache>
                <c:ptCount val="1"/>
                <c:pt idx="0">
                  <c:v>Signed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TrustedPoint!$A$2:$A$50</c:f>
              <c:numCache>
                <c:formatCode>m/d/yyyy</c:formatCode>
                <c:ptCount val="49"/>
                <c:pt idx="0">
                  <c:v>45590</c:v>
                </c:pt>
                <c:pt idx="1">
                  <c:v>45591</c:v>
                </c:pt>
                <c:pt idx="2">
                  <c:v>45592</c:v>
                </c:pt>
                <c:pt idx="3">
                  <c:v>45593</c:v>
                </c:pt>
                <c:pt idx="4">
                  <c:v>45594</c:v>
                </c:pt>
                <c:pt idx="5">
                  <c:v>45595</c:v>
                </c:pt>
                <c:pt idx="6">
                  <c:v>45596</c:v>
                </c:pt>
                <c:pt idx="7">
                  <c:v>45597</c:v>
                </c:pt>
                <c:pt idx="8">
                  <c:v>45598</c:v>
                </c:pt>
                <c:pt idx="9">
                  <c:v>45599</c:v>
                </c:pt>
                <c:pt idx="10">
                  <c:v>45600</c:v>
                </c:pt>
                <c:pt idx="11">
                  <c:v>45601</c:v>
                </c:pt>
                <c:pt idx="12">
                  <c:v>45602</c:v>
                </c:pt>
                <c:pt idx="13">
                  <c:v>45603</c:v>
                </c:pt>
                <c:pt idx="14">
                  <c:v>45604</c:v>
                </c:pt>
                <c:pt idx="15">
                  <c:v>45605</c:v>
                </c:pt>
                <c:pt idx="16">
                  <c:v>45606</c:v>
                </c:pt>
                <c:pt idx="17">
                  <c:v>45607</c:v>
                </c:pt>
                <c:pt idx="18">
                  <c:v>45608</c:v>
                </c:pt>
                <c:pt idx="19">
                  <c:v>45609</c:v>
                </c:pt>
                <c:pt idx="20">
                  <c:v>45610</c:v>
                </c:pt>
                <c:pt idx="21">
                  <c:v>45611</c:v>
                </c:pt>
                <c:pt idx="22">
                  <c:v>45612</c:v>
                </c:pt>
                <c:pt idx="23">
                  <c:v>45613</c:v>
                </c:pt>
                <c:pt idx="24">
                  <c:v>45614</c:v>
                </c:pt>
                <c:pt idx="25">
                  <c:v>45615</c:v>
                </c:pt>
                <c:pt idx="26">
                  <c:v>45616</c:v>
                </c:pt>
                <c:pt idx="27">
                  <c:v>45617</c:v>
                </c:pt>
                <c:pt idx="28">
                  <c:v>45618</c:v>
                </c:pt>
                <c:pt idx="29">
                  <c:v>45619</c:v>
                </c:pt>
                <c:pt idx="30">
                  <c:v>45620</c:v>
                </c:pt>
                <c:pt idx="31">
                  <c:v>45621</c:v>
                </c:pt>
                <c:pt idx="32">
                  <c:v>45622</c:v>
                </c:pt>
                <c:pt idx="33">
                  <c:v>45623</c:v>
                </c:pt>
                <c:pt idx="34">
                  <c:v>45624</c:v>
                </c:pt>
                <c:pt idx="35">
                  <c:v>45625</c:v>
                </c:pt>
                <c:pt idx="36">
                  <c:v>45626</c:v>
                </c:pt>
                <c:pt idx="37">
                  <c:v>45627</c:v>
                </c:pt>
                <c:pt idx="38">
                  <c:v>45628</c:v>
                </c:pt>
                <c:pt idx="39">
                  <c:v>45629</c:v>
                </c:pt>
                <c:pt idx="40">
                  <c:v>45630</c:v>
                </c:pt>
                <c:pt idx="41">
                  <c:v>45631</c:v>
                </c:pt>
                <c:pt idx="42">
                  <c:v>45632</c:v>
                </c:pt>
                <c:pt idx="43">
                  <c:v>45633</c:v>
                </c:pt>
                <c:pt idx="44">
                  <c:v>45634</c:v>
                </c:pt>
                <c:pt idx="45">
                  <c:v>45635</c:v>
                </c:pt>
                <c:pt idx="46">
                  <c:v>45636</c:v>
                </c:pt>
                <c:pt idx="47">
                  <c:v>45637</c:v>
                </c:pt>
                <c:pt idx="48">
                  <c:v>45638</c:v>
                </c:pt>
              </c:numCache>
            </c:numRef>
          </c:cat>
          <c:val>
            <c:numRef>
              <c:f>TrustedPoint!$B$2:$B$50</c:f>
              <c:numCache>
                <c:formatCode>General</c:formatCode>
                <c:ptCount val="49"/>
                <c:pt idx="0">
                  <c:v>145</c:v>
                </c:pt>
                <c:pt idx="1">
                  <c:v>149</c:v>
                </c:pt>
                <c:pt idx="2">
                  <c:v>153</c:v>
                </c:pt>
                <c:pt idx="3">
                  <c:v>157</c:v>
                </c:pt>
                <c:pt idx="4">
                  <c:v>161</c:v>
                </c:pt>
                <c:pt idx="5">
                  <c:v>165</c:v>
                </c:pt>
                <c:pt idx="6">
                  <c:v>169</c:v>
                </c:pt>
                <c:pt idx="7">
                  <c:v>173</c:v>
                </c:pt>
                <c:pt idx="8">
                  <c:v>177</c:v>
                </c:pt>
                <c:pt idx="10">
                  <c:v>185</c:v>
                </c:pt>
                <c:pt idx="11">
                  <c:v>189</c:v>
                </c:pt>
                <c:pt idx="12">
                  <c:v>193</c:v>
                </c:pt>
                <c:pt idx="13">
                  <c:v>197</c:v>
                </c:pt>
                <c:pt idx="14">
                  <c:v>201</c:v>
                </c:pt>
                <c:pt idx="15">
                  <c:v>205</c:v>
                </c:pt>
                <c:pt idx="16">
                  <c:v>209</c:v>
                </c:pt>
                <c:pt idx="17">
                  <c:v>213</c:v>
                </c:pt>
                <c:pt idx="18">
                  <c:v>217</c:v>
                </c:pt>
                <c:pt idx="19">
                  <c:v>221</c:v>
                </c:pt>
                <c:pt idx="20">
                  <c:v>225</c:v>
                </c:pt>
                <c:pt idx="21">
                  <c:v>229</c:v>
                </c:pt>
                <c:pt idx="22">
                  <c:v>233</c:v>
                </c:pt>
                <c:pt idx="23">
                  <c:v>237</c:v>
                </c:pt>
                <c:pt idx="24">
                  <c:v>241</c:v>
                </c:pt>
                <c:pt idx="25">
                  <c:v>245</c:v>
                </c:pt>
                <c:pt idx="26">
                  <c:v>249</c:v>
                </c:pt>
                <c:pt idx="27">
                  <c:v>253</c:v>
                </c:pt>
                <c:pt idx="28">
                  <c:v>257</c:v>
                </c:pt>
                <c:pt idx="29">
                  <c:v>261</c:v>
                </c:pt>
                <c:pt idx="30">
                  <c:v>265</c:v>
                </c:pt>
                <c:pt idx="31">
                  <c:v>269</c:v>
                </c:pt>
                <c:pt idx="32">
                  <c:v>273</c:v>
                </c:pt>
                <c:pt idx="33">
                  <c:v>277</c:v>
                </c:pt>
                <c:pt idx="34">
                  <c:v>281</c:v>
                </c:pt>
                <c:pt idx="35">
                  <c:v>285</c:v>
                </c:pt>
                <c:pt idx="36">
                  <c:v>289</c:v>
                </c:pt>
                <c:pt idx="37">
                  <c:v>293</c:v>
                </c:pt>
                <c:pt idx="38">
                  <c:v>114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69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A-4DC6-9656-AA7A94088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502271"/>
        <c:axId val="333496447"/>
      </c:barChart>
      <c:dateAx>
        <c:axId val="3335022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3496447"/>
        <c:crosses val="autoZero"/>
        <c:auto val="1"/>
        <c:lblOffset val="100"/>
        <c:baseTimeUnit val="days"/>
      </c:dateAx>
      <c:valAx>
        <c:axId val="3334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350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458832</xdr:colOff>
      <xdr:row>24</xdr:row>
      <xdr:rowOff>134984</xdr:rowOff>
    </xdr:from>
    <xdr:to>
      <xdr:col>19</xdr:col>
      <xdr:colOff>446313</xdr:colOff>
      <xdr:row>42</xdr:row>
      <xdr:rowOff>130629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293915</xdr:colOff>
      <xdr:row>24</xdr:row>
      <xdr:rowOff>152400</xdr:rowOff>
    </xdr:from>
    <xdr:to>
      <xdr:col>28</xdr:col>
      <xdr:colOff>283028</xdr:colOff>
      <xdr:row>42</xdr:row>
      <xdr:rowOff>174170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462643</xdr:colOff>
      <xdr:row>5</xdr:row>
      <xdr:rowOff>179615</xdr:rowOff>
    </xdr:from>
    <xdr:to>
      <xdr:col>19</xdr:col>
      <xdr:colOff>446315</xdr:colOff>
      <xdr:row>24</xdr:row>
      <xdr:rowOff>43544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ckoverflow.com/questions/37434227/how-to-open-xlsx-file-with-python-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O11" sqref="O11"/>
    </sheetView>
  </sheetViews>
  <sheetFormatPr defaultRowHeight="14.4" x14ac:dyDescent="0.3"/>
  <cols>
    <col min="1" max="1" width="13" customWidth="1"/>
    <col min="2" max="2" width="56.77734375" customWidth="1"/>
    <col min="3" max="3" width="16.6640625" customWidth="1"/>
    <col min="4" max="5" width="17.6640625" customWidth="1"/>
    <col min="6" max="6" width="8" bestFit="1" customWidth="1"/>
    <col min="7" max="7" width="8.33203125" customWidth="1"/>
    <col min="8" max="8" width="8" bestFit="1" customWidth="1"/>
    <col min="9" max="9" width="8.33203125" bestFit="1" customWidth="1"/>
    <col min="10" max="10" width="8" bestFit="1" customWidth="1"/>
    <col min="11" max="11" width="8.33203125" bestFit="1" customWidth="1"/>
  </cols>
  <sheetData>
    <row r="1" spans="1:11" ht="18" thickBot="1" x14ac:dyDescent="0.35">
      <c r="A1" s="2" t="s">
        <v>5</v>
      </c>
      <c r="B1" s="2" t="s">
        <v>0</v>
      </c>
      <c r="C1" s="3" t="s">
        <v>10</v>
      </c>
      <c r="D1" s="3" t="s">
        <v>4</v>
      </c>
      <c r="E1" s="3" t="s">
        <v>18</v>
      </c>
      <c r="F1" s="34">
        <v>45590</v>
      </c>
      <c r="G1" s="35"/>
      <c r="H1" s="34">
        <v>45591</v>
      </c>
      <c r="I1" s="35"/>
      <c r="J1" s="34">
        <v>45592</v>
      </c>
      <c r="K1" s="35"/>
    </row>
    <row r="2" spans="1:11" ht="15" customHeight="1" thickBot="1" x14ac:dyDescent="0.35">
      <c r="A2" s="13" t="s">
        <v>19</v>
      </c>
      <c r="B2" s="14"/>
      <c r="C2" s="14"/>
      <c r="D2" s="14"/>
      <c r="E2" s="15"/>
      <c r="F2" s="16" t="s">
        <v>13</v>
      </c>
      <c r="G2" s="17"/>
      <c r="H2" s="16" t="s">
        <v>13</v>
      </c>
      <c r="I2" s="17"/>
      <c r="J2" s="16" t="s">
        <v>13</v>
      </c>
      <c r="K2" s="17"/>
    </row>
    <row r="3" spans="1:11" ht="14.4" customHeight="1" x14ac:dyDescent="0.3">
      <c r="A3" s="18" t="s">
        <v>6</v>
      </c>
      <c r="B3" s="20" t="s">
        <v>1</v>
      </c>
      <c r="C3" s="22" t="s">
        <v>11</v>
      </c>
      <c r="D3" s="24">
        <v>1</v>
      </c>
      <c r="E3" s="10">
        <f>SUM(F5:K5)/COUNT(F5:K5)</f>
        <v>0.96085447712521399</v>
      </c>
      <c r="F3" s="4" t="s">
        <v>2</v>
      </c>
      <c r="G3" s="5" t="s">
        <v>3</v>
      </c>
      <c r="H3" s="4" t="s">
        <v>2</v>
      </c>
      <c r="I3" s="5" t="s">
        <v>3</v>
      </c>
      <c r="J3" s="4" t="s">
        <v>2</v>
      </c>
      <c r="K3" s="5" t="s">
        <v>3</v>
      </c>
    </row>
    <row r="4" spans="1:11" ht="15" customHeight="1" thickBot="1" x14ac:dyDescent="0.35">
      <c r="A4" s="19"/>
      <c r="B4" s="21"/>
      <c r="C4" s="23"/>
      <c r="D4" s="11"/>
      <c r="E4" s="11"/>
      <c r="F4" s="6">
        <v>837</v>
      </c>
      <c r="G4" s="7">
        <v>32</v>
      </c>
      <c r="H4" s="6">
        <v>814</v>
      </c>
      <c r="I4" s="7">
        <v>12</v>
      </c>
      <c r="J4" s="6">
        <v>749</v>
      </c>
      <c r="K4" s="7">
        <v>53</v>
      </c>
    </row>
    <row r="5" spans="1:11" ht="15" customHeight="1" thickBot="1" x14ac:dyDescent="0.35">
      <c r="A5" s="19"/>
      <c r="B5" s="21"/>
      <c r="C5" s="23"/>
      <c r="D5" s="12"/>
      <c r="E5" s="12"/>
      <c r="F5" s="36">
        <f>F4/(F4+G4)</f>
        <v>0.96317606444188719</v>
      </c>
      <c r="G5" s="37"/>
      <c r="H5" s="36">
        <f>H4/(H4+I4)</f>
        <v>0.98547215496368035</v>
      </c>
      <c r="I5" s="37"/>
      <c r="J5" s="36">
        <f>J4/(J4+K4)</f>
        <v>0.93391521197007477</v>
      </c>
      <c r="K5" s="37"/>
    </row>
    <row r="6" spans="1:11" ht="14.4" customHeight="1" x14ac:dyDescent="0.3">
      <c r="A6" s="18" t="s">
        <v>7</v>
      </c>
      <c r="B6" s="20" t="s">
        <v>1</v>
      </c>
      <c r="C6" s="22" t="s">
        <v>11</v>
      </c>
      <c r="D6" s="24">
        <v>0</v>
      </c>
      <c r="E6" s="10">
        <f t="shared" ref="E6" si="0">SUM(F8:K8)/COUNT(F8:K8)</f>
        <v>0.97804012478974922</v>
      </c>
      <c r="F6" s="4" t="s">
        <v>2</v>
      </c>
      <c r="G6" s="5" t="s">
        <v>3</v>
      </c>
      <c r="H6" s="4" t="s">
        <v>2</v>
      </c>
      <c r="I6" s="5" t="s">
        <v>3</v>
      </c>
      <c r="J6" s="4" t="s">
        <v>2</v>
      </c>
      <c r="K6" s="5" t="s">
        <v>3</v>
      </c>
    </row>
    <row r="7" spans="1:11" ht="15" customHeight="1" thickBot="1" x14ac:dyDescent="0.35">
      <c r="A7" s="19"/>
      <c r="B7" s="21"/>
      <c r="C7" s="23"/>
      <c r="D7" s="11"/>
      <c r="E7" s="11"/>
      <c r="F7" s="6">
        <v>837</v>
      </c>
      <c r="G7" s="8">
        <v>32</v>
      </c>
      <c r="H7" s="6">
        <v>814</v>
      </c>
      <c r="I7" s="8">
        <v>12</v>
      </c>
      <c r="J7" s="6">
        <v>814</v>
      </c>
      <c r="K7" s="8">
        <v>12</v>
      </c>
    </row>
    <row r="8" spans="1:11" ht="15" customHeight="1" thickBot="1" x14ac:dyDescent="0.35">
      <c r="A8" s="19"/>
      <c r="B8" s="21"/>
      <c r="C8" s="23"/>
      <c r="D8" s="12"/>
      <c r="E8" s="12"/>
      <c r="F8" s="36">
        <f>F7/(F7+G7)</f>
        <v>0.96317606444188719</v>
      </c>
      <c r="G8" s="37"/>
      <c r="H8" s="36">
        <f>H7/(H7+I7)</f>
        <v>0.98547215496368035</v>
      </c>
      <c r="I8" s="37"/>
      <c r="J8" s="36">
        <f>J7/(J7+K7)</f>
        <v>0.98547215496368035</v>
      </c>
      <c r="K8" s="37"/>
    </row>
    <row r="9" spans="1:11" ht="14.4" customHeight="1" x14ac:dyDescent="0.3">
      <c r="A9" s="18" t="s">
        <v>9</v>
      </c>
      <c r="B9" s="20" t="s">
        <v>1</v>
      </c>
      <c r="C9" s="28" t="s">
        <v>12</v>
      </c>
      <c r="D9" s="24">
        <v>0</v>
      </c>
      <c r="E9" s="10">
        <f t="shared" ref="E9" si="1">SUM(F11:K11)/COUNT(F11:K11)</f>
        <v>0.97804012478974922</v>
      </c>
      <c r="F9" s="4" t="s">
        <v>2</v>
      </c>
      <c r="G9" s="5" t="s">
        <v>3</v>
      </c>
      <c r="H9" s="4" t="s">
        <v>2</v>
      </c>
      <c r="I9" s="5" t="s">
        <v>3</v>
      </c>
      <c r="J9" s="4" t="s">
        <v>2</v>
      </c>
      <c r="K9" s="5" t="s">
        <v>3</v>
      </c>
    </row>
    <row r="10" spans="1:11" ht="15" customHeight="1" thickBot="1" x14ac:dyDescent="0.35">
      <c r="A10" s="19"/>
      <c r="B10" s="21"/>
      <c r="C10" s="29"/>
      <c r="D10" s="11"/>
      <c r="E10" s="11"/>
      <c r="F10" s="6">
        <v>837</v>
      </c>
      <c r="G10" s="8">
        <v>32</v>
      </c>
      <c r="H10" s="6">
        <v>814</v>
      </c>
      <c r="I10" s="8">
        <v>12</v>
      </c>
      <c r="J10" s="6">
        <v>814</v>
      </c>
      <c r="K10" s="8">
        <v>12</v>
      </c>
    </row>
    <row r="11" spans="1:11" ht="15" customHeight="1" thickBot="1" x14ac:dyDescent="0.35">
      <c r="A11" s="19"/>
      <c r="B11" s="21"/>
      <c r="C11" s="29"/>
      <c r="D11" s="12"/>
      <c r="E11" s="12"/>
      <c r="F11" s="36">
        <f>F10/(F10+G10)</f>
        <v>0.96317606444188719</v>
      </c>
      <c r="G11" s="37"/>
      <c r="H11" s="36">
        <f>H10/(H10+I10)</f>
        <v>0.98547215496368035</v>
      </c>
      <c r="I11" s="37"/>
      <c r="J11" s="36">
        <f>J10/(J10+K10)</f>
        <v>0.98547215496368035</v>
      </c>
      <c r="K11" s="37"/>
    </row>
    <row r="12" spans="1:11" ht="14.4" customHeight="1" x14ac:dyDescent="0.3">
      <c r="A12" s="25" t="s">
        <v>8</v>
      </c>
      <c r="B12" s="20" t="s">
        <v>1</v>
      </c>
      <c r="C12" s="22" t="s">
        <v>11</v>
      </c>
      <c r="D12" s="24">
        <v>2</v>
      </c>
      <c r="E12" s="10">
        <f t="shared" ref="E12" si="2">SUM(F14:K14)/COUNT(F14:K14)</f>
        <v>0.97804012478974922</v>
      </c>
      <c r="F12" s="4" t="s">
        <v>2</v>
      </c>
      <c r="G12" s="5" t="s">
        <v>3</v>
      </c>
      <c r="H12" s="4" t="s">
        <v>2</v>
      </c>
      <c r="I12" s="5" t="s">
        <v>3</v>
      </c>
      <c r="J12" s="4" t="s">
        <v>2</v>
      </c>
      <c r="K12" s="5" t="s">
        <v>3</v>
      </c>
    </row>
    <row r="13" spans="1:11" ht="14.4" customHeight="1" x14ac:dyDescent="0.3">
      <c r="A13" s="26"/>
      <c r="B13" s="21"/>
      <c r="C13" s="23"/>
      <c r="D13" s="11"/>
      <c r="E13" s="11"/>
      <c r="F13" s="6">
        <v>837</v>
      </c>
      <c r="G13" s="8">
        <v>32</v>
      </c>
      <c r="H13" s="6">
        <v>814</v>
      </c>
      <c r="I13" s="8">
        <v>12</v>
      </c>
      <c r="J13" s="6">
        <v>814</v>
      </c>
      <c r="K13" s="8">
        <v>12</v>
      </c>
    </row>
    <row r="14" spans="1:11" ht="15" customHeight="1" thickBot="1" x14ac:dyDescent="0.35">
      <c r="A14" s="27"/>
      <c r="B14" s="31"/>
      <c r="C14" s="30"/>
      <c r="D14" s="12"/>
      <c r="E14" s="12"/>
      <c r="F14" s="32">
        <f>F13/(F13+G13)</f>
        <v>0.96317606444188719</v>
      </c>
      <c r="G14" s="33"/>
      <c r="H14" s="32">
        <f>H13/(H13+I13)</f>
        <v>0.98547215496368035</v>
      </c>
      <c r="I14" s="33"/>
      <c r="J14" s="32">
        <f>J13/(J13+K13)</f>
        <v>0.98547215496368035</v>
      </c>
      <c r="K14" s="33"/>
    </row>
    <row r="17" spans="2:2" x14ac:dyDescent="0.3">
      <c r="B17" s="38" t="s">
        <v>20</v>
      </c>
    </row>
  </sheetData>
  <mergeCells count="39">
    <mergeCell ref="D9:D11"/>
    <mergeCell ref="E6:E8"/>
    <mergeCell ref="E9:E11"/>
    <mergeCell ref="F1:G1"/>
    <mergeCell ref="J1:K1"/>
    <mergeCell ref="F5:G5"/>
    <mergeCell ref="J5:K5"/>
    <mergeCell ref="B12:B14"/>
    <mergeCell ref="F14:G14"/>
    <mergeCell ref="J14:K14"/>
    <mergeCell ref="H1:I1"/>
    <mergeCell ref="H5:I5"/>
    <mergeCell ref="H8:I8"/>
    <mergeCell ref="H11:I11"/>
    <mergeCell ref="H14:I14"/>
    <mergeCell ref="D3:D5"/>
    <mergeCell ref="D6:D8"/>
    <mergeCell ref="B6:B8"/>
    <mergeCell ref="F8:G8"/>
    <mergeCell ref="J8:K8"/>
    <mergeCell ref="B9:B11"/>
    <mergeCell ref="F11:G11"/>
    <mergeCell ref="J11:K11"/>
    <mergeCell ref="E12:E14"/>
    <mergeCell ref="A2:E2"/>
    <mergeCell ref="F2:G2"/>
    <mergeCell ref="H2:I2"/>
    <mergeCell ref="J2:K2"/>
    <mergeCell ref="A3:A5"/>
    <mergeCell ref="B3:B5"/>
    <mergeCell ref="C3:C5"/>
    <mergeCell ref="E3:E5"/>
    <mergeCell ref="D12:D14"/>
    <mergeCell ref="A6:A8"/>
    <mergeCell ref="A9:A11"/>
    <mergeCell ref="A12:A14"/>
    <mergeCell ref="C6:C8"/>
    <mergeCell ref="C9:C11"/>
    <mergeCell ref="C12:C14"/>
  </mergeCells>
  <hyperlinks>
    <hyperlink ref="B17" r:id="rId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zoomScale="70" zoomScaleNormal="70" workbookViewId="0">
      <selection activeCell="F24" sqref="F24"/>
    </sheetView>
  </sheetViews>
  <sheetFormatPr defaultRowHeight="14.4" x14ac:dyDescent="0.3"/>
  <cols>
    <col min="1" max="1" width="10.88671875" bestFit="1" customWidth="1"/>
  </cols>
  <sheetData>
    <row r="1" spans="1:4" x14ac:dyDescent="0.3">
      <c r="A1" t="s">
        <v>15</v>
      </c>
      <c r="B1" t="s">
        <v>14</v>
      </c>
      <c r="C1" t="s">
        <v>16</v>
      </c>
      <c r="D1" t="s">
        <v>17</v>
      </c>
    </row>
    <row r="2" spans="1:4" x14ac:dyDescent="0.3">
      <c r="A2" s="1">
        <v>45590</v>
      </c>
      <c r="B2">
        <v>145</v>
      </c>
      <c r="C2">
        <v>2</v>
      </c>
      <c r="D2" s="9">
        <f>B2/(B2+C2)</f>
        <v>0.98639455782312924</v>
      </c>
    </row>
    <row r="3" spans="1:4" x14ac:dyDescent="0.3">
      <c r="A3" s="1">
        <v>45591</v>
      </c>
      <c r="B3">
        <v>149</v>
      </c>
      <c r="C3">
        <v>4</v>
      </c>
      <c r="D3" s="9">
        <f t="shared" ref="D3:D40" si="0">B3/(B3+C3)</f>
        <v>0.97385620915032678</v>
      </c>
    </row>
    <row r="4" spans="1:4" x14ac:dyDescent="0.3">
      <c r="A4" s="1">
        <v>45592</v>
      </c>
      <c r="B4">
        <v>153</v>
      </c>
      <c r="C4">
        <v>6</v>
      </c>
      <c r="D4" s="9">
        <f t="shared" si="0"/>
        <v>0.96226415094339623</v>
      </c>
    </row>
    <row r="5" spans="1:4" x14ac:dyDescent="0.3">
      <c r="A5" s="1">
        <v>45593</v>
      </c>
      <c r="B5">
        <v>157</v>
      </c>
      <c r="C5">
        <v>8</v>
      </c>
      <c r="D5" s="9">
        <f t="shared" si="0"/>
        <v>0.95151515151515154</v>
      </c>
    </row>
    <row r="6" spans="1:4" x14ac:dyDescent="0.3">
      <c r="A6" s="1">
        <v>45594</v>
      </c>
      <c r="B6">
        <v>161</v>
      </c>
      <c r="C6">
        <v>10</v>
      </c>
      <c r="D6" s="9">
        <f t="shared" si="0"/>
        <v>0.94152046783625731</v>
      </c>
    </row>
    <row r="7" spans="1:4" x14ac:dyDescent="0.3">
      <c r="A7" s="1">
        <v>45595</v>
      </c>
      <c r="B7">
        <v>165</v>
      </c>
      <c r="C7">
        <v>12</v>
      </c>
      <c r="D7" s="9">
        <f t="shared" si="0"/>
        <v>0.93220338983050843</v>
      </c>
    </row>
    <row r="8" spans="1:4" x14ac:dyDescent="0.3">
      <c r="A8" s="1">
        <v>45596</v>
      </c>
      <c r="B8">
        <v>169</v>
      </c>
      <c r="C8">
        <v>14</v>
      </c>
      <c r="D8" s="9">
        <f t="shared" si="0"/>
        <v>0.92349726775956287</v>
      </c>
    </row>
    <row r="9" spans="1:4" x14ac:dyDescent="0.3">
      <c r="A9" s="1">
        <v>45597</v>
      </c>
      <c r="B9">
        <v>173</v>
      </c>
      <c r="C9">
        <v>16</v>
      </c>
      <c r="D9" s="9">
        <f t="shared" si="0"/>
        <v>0.91534391534391535</v>
      </c>
    </row>
    <row r="10" spans="1:4" x14ac:dyDescent="0.3">
      <c r="A10" s="1">
        <v>45598</v>
      </c>
      <c r="B10">
        <v>177</v>
      </c>
      <c r="C10">
        <v>18</v>
      </c>
      <c r="D10" s="9">
        <f t="shared" si="0"/>
        <v>0.90769230769230769</v>
      </c>
    </row>
    <row r="11" spans="1:4" x14ac:dyDescent="0.3">
      <c r="A11" s="1">
        <v>45599</v>
      </c>
      <c r="D11" s="9"/>
    </row>
    <row r="12" spans="1:4" x14ac:dyDescent="0.3">
      <c r="A12" s="1">
        <v>45600</v>
      </c>
      <c r="B12">
        <v>185</v>
      </c>
      <c r="C12">
        <v>22</v>
      </c>
      <c r="D12" s="9">
        <f t="shared" si="0"/>
        <v>0.893719806763285</v>
      </c>
    </row>
    <row r="13" spans="1:4" x14ac:dyDescent="0.3">
      <c r="A13" s="1">
        <v>45601</v>
      </c>
      <c r="B13">
        <v>189</v>
      </c>
      <c r="C13">
        <v>24</v>
      </c>
      <c r="D13" s="9">
        <f t="shared" si="0"/>
        <v>0.88732394366197187</v>
      </c>
    </row>
    <row r="14" spans="1:4" x14ac:dyDescent="0.3">
      <c r="A14" s="1">
        <v>45602</v>
      </c>
      <c r="B14">
        <v>193</v>
      </c>
      <c r="C14">
        <v>3</v>
      </c>
      <c r="D14" s="9">
        <f t="shared" si="0"/>
        <v>0.98469387755102045</v>
      </c>
    </row>
    <row r="15" spans="1:4" x14ac:dyDescent="0.3">
      <c r="A15" s="1">
        <v>45603</v>
      </c>
      <c r="B15">
        <v>197</v>
      </c>
      <c r="C15">
        <v>28</v>
      </c>
      <c r="D15" s="9">
        <f t="shared" si="0"/>
        <v>0.87555555555555553</v>
      </c>
    </row>
    <row r="16" spans="1:4" x14ac:dyDescent="0.3">
      <c r="A16" s="1">
        <v>45604</v>
      </c>
      <c r="B16">
        <v>201</v>
      </c>
      <c r="C16">
        <v>30</v>
      </c>
      <c r="D16" s="9">
        <f t="shared" si="0"/>
        <v>0.87012987012987009</v>
      </c>
    </row>
    <row r="17" spans="1:4" x14ac:dyDescent="0.3">
      <c r="A17" s="1">
        <v>45605</v>
      </c>
      <c r="B17">
        <v>205</v>
      </c>
      <c r="C17">
        <v>4</v>
      </c>
      <c r="D17" s="9">
        <f t="shared" si="0"/>
        <v>0.98086124401913877</v>
      </c>
    </row>
    <row r="18" spans="1:4" x14ac:dyDescent="0.3">
      <c r="A18" s="1">
        <v>45606</v>
      </c>
      <c r="B18">
        <v>209</v>
      </c>
      <c r="C18">
        <v>34</v>
      </c>
      <c r="D18" s="9">
        <f t="shared" si="0"/>
        <v>0.86008230452674894</v>
      </c>
    </row>
    <row r="19" spans="1:4" x14ac:dyDescent="0.3">
      <c r="A19" s="1">
        <v>45607</v>
      </c>
      <c r="B19">
        <v>213</v>
      </c>
      <c r="C19">
        <v>5</v>
      </c>
      <c r="D19" s="9">
        <f t="shared" si="0"/>
        <v>0.97706422018348627</v>
      </c>
    </row>
    <row r="20" spans="1:4" x14ac:dyDescent="0.3">
      <c r="A20" s="1">
        <v>45608</v>
      </c>
      <c r="B20">
        <v>217</v>
      </c>
      <c r="C20">
        <v>38</v>
      </c>
      <c r="D20" s="9">
        <f t="shared" si="0"/>
        <v>0.85098039215686272</v>
      </c>
    </row>
    <row r="21" spans="1:4" x14ac:dyDescent="0.3">
      <c r="A21" s="1">
        <v>45609</v>
      </c>
      <c r="B21">
        <v>221</v>
      </c>
      <c r="C21">
        <v>40</v>
      </c>
      <c r="D21" s="9">
        <f t="shared" si="0"/>
        <v>0.84674329501915713</v>
      </c>
    </row>
    <row r="22" spans="1:4" x14ac:dyDescent="0.3">
      <c r="A22" s="1">
        <v>45610</v>
      </c>
      <c r="B22">
        <v>225</v>
      </c>
      <c r="C22">
        <v>112</v>
      </c>
      <c r="D22" s="9">
        <f t="shared" si="0"/>
        <v>0.66765578635014833</v>
      </c>
    </row>
    <row r="23" spans="1:4" x14ac:dyDescent="0.3">
      <c r="A23" s="1">
        <v>45611</v>
      </c>
      <c r="B23">
        <v>229</v>
      </c>
      <c r="C23">
        <v>44</v>
      </c>
      <c r="D23" s="9">
        <f t="shared" si="0"/>
        <v>0.83882783882783885</v>
      </c>
    </row>
    <row r="24" spans="1:4" x14ac:dyDescent="0.3">
      <c r="A24" s="1">
        <v>45612</v>
      </c>
      <c r="B24">
        <v>233</v>
      </c>
      <c r="C24">
        <v>46</v>
      </c>
      <c r="D24" s="9">
        <f t="shared" si="0"/>
        <v>0.83512544802867383</v>
      </c>
    </row>
    <row r="25" spans="1:4" x14ac:dyDescent="0.3">
      <c r="A25" s="1">
        <v>45613</v>
      </c>
      <c r="B25">
        <v>237</v>
      </c>
      <c r="C25">
        <v>4</v>
      </c>
      <c r="D25" s="9">
        <f t="shared" si="0"/>
        <v>0.98340248962655596</v>
      </c>
    </row>
    <row r="26" spans="1:4" x14ac:dyDescent="0.3">
      <c r="A26" s="1">
        <v>45614</v>
      </c>
      <c r="B26">
        <v>241</v>
      </c>
      <c r="C26">
        <v>50</v>
      </c>
      <c r="D26" s="9">
        <f t="shared" si="0"/>
        <v>0.82817869415807566</v>
      </c>
    </row>
    <row r="27" spans="1:4" x14ac:dyDescent="0.3">
      <c r="A27" s="1">
        <v>45615</v>
      </c>
      <c r="B27">
        <v>245</v>
      </c>
      <c r="C27">
        <v>52</v>
      </c>
      <c r="D27" s="9">
        <f t="shared" si="0"/>
        <v>0.82491582491582494</v>
      </c>
    </row>
    <row r="28" spans="1:4" x14ac:dyDescent="0.3">
      <c r="A28" s="1">
        <v>45616</v>
      </c>
      <c r="B28">
        <v>249</v>
      </c>
      <c r="C28">
        <v>3</v>
      </c>
      <c r="D28" s="9">
        <f t="shared" si="0"/>
        <v>0.98809523809523814</v>
      </c>
    </row>
    <row r="29" spans="1:4" x14ac:dyDescent="0.3">
      <c r="A29" s="1">
        <v>45617</v>
      </c>
      <c r="B29">
        <v>253</v>
      </c>
      <c r="C29">
        <v>56</v>
      </c>
      <c r="D29" s="9">
        <f t="shared" si="0"/>
        <v>0.81877022653721687</v>
      </c>
    </row>
    <row r="30" spans="1:4" x14ac:dyDescent="0.3">
      <c r="A30" s="1">
        <v>45618</v>
      </c>
      <c r="B30">
        <v>257</v>
      </c>
      <c r="C30">
        <v>58</v>
      </c>
      <c r="D30" s="9">
        <f t="shared" si="0"/>
        <v>0.81587301587301586</v>
      </c>
    </row>
    <row r="31" spans="1:4" x14ac:dyDescent="0.3">
      <c r="A31" s="1">
        <v>45619</v>
      </c>
      <c r="B31">
        <v>261</v>
      </c>
      <c r="C31">
        <v>8</v>
      </c>
      <c r="D31" s="9">
        <f t="shared" si="0"/>
        <v>0.97026022304832715</v>
      </c>
    </row>
    <row r="32" spans="1:4" x14ac:dyDescent="0.3">
      <c r="A32" s="1">
        <v>45620</v>
      </c>
      <c r="B32">
        <v>265</v>
      </c>
      <c r="C32">
        <v>62</v>
      </c>
      <c r="D32" s="9">
        <f t="shared" si="0"/>
        <v>0.81039755351681952</v>
      </c>
    </row>
    <row r="33" spans="1:4" x14ac:dyDescent="0.3">
      <c r="A33" s="1">
        <v>45621</v>
      </c>
      <c r="B33">
        <v>269</v>
      </c>
      <c r="C33">
        <v>64</v>
      </c>
      <c r="D33" s="9">
        <f t="shared" si="0"/>
        <v>0.80780780780780781</v>
      </c>
    </row>
    <row r="34" spans="1:4" x14ac:dyDescent="0.3">
      <c r="A34" s="1">
        <v>45622</v>
      </c>
      <c r="B34">
        <v>273</v>
      </c>
      <c r="C34">
        <v>6</v>
      </c>
      <c r="D34" s="9">
        <f t="shared" si="0"/>
        <v>0.978494623655914</v>
      </c>
    </row>
    <row r="35" spans="1:4" x14ac:dyDescent="0.3">
      <c r="A35" s="1">
        <v>45623</v>
      </c>
      <c r="B35">
        <v>277</v>
      </c>
      <c r="C35">
        <v>68</v>
      </c>
      <c r="D35" s="9">
        <f t="shared" si="0"/>
        <v>0.80289855072463767</v>
      </c>
    </row>
    <row r="36" spans="1:4" x14ac:dyDescent="0.3">
      <c r="A36" s="1">
        <v>45624</v>
      </c>
      <c r="B36">
        <v>281</v>
      </c>
      <c r="C36">
        <v>70</v>
      </c>
      <c r="D36" s="9">
        <f t="shared" si="0"/>
        <v>0.80056980056980054</v>
      </c>
    </row>
    <row r="37" spans="1:4" x14ac:dyDescent="0.3">
      <c r="A37" s="1">
        <v>45625</v>
      </c>
      <c r="B37">
        <v>285</v>
      </c>
      <c r="C37">
        <v>1215</v>
      </c>
      <c r="D37" s="9">
        <f t="shared" si="0"/>
        <v>0.19</v>
      </c>
    </row>
    <row r="38" spans="1:4" x14ac:dyDescent="0.3">
      <c r="A38" s="1">
        <v>45626</v>
      </c>
      <c r="B38">
        <v>289</v>
      </c>
      <c r="C38">
        <v>74</v>
      </c>
      <c r="D38" s="9">
        <f t="shared" si="0"/>
        <v>0.79614325068870528</v>
      </c>
    </row>
    <row r="39" spans="1:4" x14ac:dyDescent="0.3">
      <c r="A39" s="1">
        <v>45627</v>
      </c>
      <c r="B39">
        <v>293</v>
      </c>
      <c r="C39">
        <v>76</v>
      </c>
      <c r="D39" s="9">
        <f t="shared" si="0"/>
        <v>0.79403794037940378</v>
      </c>
    </row>
    <row r="40" spans="1:4" x14ac:dyDescent="0.3">
      <c r="A40" s="1">
        <v>45628</v>
      </c>
      <c r="B40">
        <v>114</v>
      </c>
      <c r="C40">
        <v>5</v>
      </c>
      <c r="D40" s="9">
        <f t="shared" si="0"/>
        <v>0.95798319327731096</v>
      </c>
    </row>
    <row r="41" spans="1:4" x14ac:dyDescent="0.3">
      <c r="A41" s="1">
        <v>45629</v>
      </c>
      <c r="B41">
        <v>0</v>
      </c>
      <c r="C41">
        <v>0</v>
      </c>
      <c r="D41" s="9">
        <v>0</v>
      </c>
    </row>
    <row r="42" spans="1:4" x14ac:dyDescent="0.3">
      <c r="A42" s="1">
        <v>45630</v>
      </c>
      <c r="B42">
        <v>0</v>
      </c>
      <c r="C42">
        <v>0</v>
      </c>
      <c r="D42" s="9">
        <v>0</v>
      </c>
    </row>
    <row r="43" spans="1:4" x14ac:dyDescent="0.3">
      <c r="A43" s="1">
        <v>45631</v>
      </c>
      <c r="B43">
        <v>0</v>
      </c>
      <c r="C43">
        <v>0</v>
      </c>
      <c r="D43" s="9">
        <v>0</v>
      </c>
    </row>
    <row r="44" spans="1:4" x14ac:dyDescent="0.3">
      <c r="A44" s="1">
        <v>45632</v>
      </c>
      <c r="B44">
        <v>0</v>
      </c>
      <c r="C44">
        <v>0</v>
      </c>
      <c r="D44" s="9">
        <v>0</v>
      </c>
    </row>
    <row r="45" spans="1:4" x14ac:dyDescent="0.3">
      <c r="A45" s="1">
        <v>45633</v>
      </c>
      <c r="B45">
        <v>0</v>
      </c>
      <c r="C45">
        <v>0</v>
      </c>
      <c r="D45" s="9">
        <v>0</v>
      </c>
    </row>
    <row r="46" spans="1:4" x14ac:dyDescent="0.3">
      <c r="A46" s="1">
        <v>45634</v>
      </c>
      <c r="B46">
        <v>0</v>
      </c>
      <c r="C46">
        <v>0</v>
      </c>
      <c r="D46" s="9">
        <v>0</v>
      </c>
    </row>
    <row r="47" spans="1:4" x14ac:dyDescent="0.3">
      <c r="A47" s="1">
        <v>45635</v>
      </c>
      <c r="B47">
        <v>0</v>
      </c>
      <c r="C47">
        <v>0</v>
      </c>
      <c r="D47" s="9">
        <v>0</v>
      </c>
    </row>
    <row r="48" spans="1:4" x14ac:dyDescent="0.3">
      <c r="A48" s="1">
        <v>45636</v>
      </c>
      <c r="B48">
        <v>0</v>
      </c>
      <c r="C48">
        <v>0</v>
      </c>
      <c r="D48" s="9">
        <v>0</v>
      </c>
    </row>
    <row r="49" spans="1:4" x14ac:dyDescent="0.3">
      <c r="A49" s="1">
        <v>45637</v>
      </c>
      <c r="B49">
        <v>69</v>
      </c>
      <c r="C49">
        <v>1</v>
      </c>
      <c r="D49" s="9">
        <f t="shared" ref="D49" si="1">B49/(B49+C49)</f>
        <v>0.98571428571428577</v>
      </c>
    </row>
    <row r="50" spans="1:4" x14ac:dyDescent="0.3">
      <c r="A50" s="1">
        <v>45638</v>
      </c>
      <c r="B50">
        <v>0</v>
      </c>
      <c r="C50">
        <v>0</v>
      </c>
      <c r="D50" s="9">
        <v>0</v>
      </c>
    </row>
    <row r="51" spans="1:4" x14ac:dyDescent="0.3">
      <c r="A51" s="1">
        <v>45639</v>
      </c>
      <c r="B51">
        <v>0</v>
      </c>
      <c r="C51">
        <v>0</v>
      </c>
      <c r="D51" s="9">
        <v>0</v>
      </c>
    </row>
    <row r="52" spans="1:4" x14ac:dyDescent="0.3">
      <c r="A52" s="1">
        <v>45640</v>
      </c>
      <c r="B52">
        <v>0</v>
      </c>
      <c r="C52">
        <v>0</v>
      </c>
      <c r="D52" s="9">
        <v>0</v>
      </c>
    </row>
    <row r="53" spans="1:4" x14ac:dyDescent="0.3">
      <c r="A53" s="1">
        <v>45641</v>
      </c>
      <c r="B53">
        <v>0</v>
      </c>
      <c r="C53">
        <v>0</v>
      </c>
      <c r="D53" s="9">
        <v>0</v>
      </c>
    </row>
    <row r="54" spans="1:4" x14ac:dyDescent="0.3">
      <c r="A54" s="1">
        <v>45642</v>
      </c>
      <c r="B54">
        <v>0</v>
      </c>
      <c r="C54">
        <v>0</v>
      </c>
      <c r="D54" s="9">
        <v>0</v>
      </c>
    </row>
    <row r="55" spans="1:4" x14ac:dyDescent="0.3">
      <c r="A55" s="1">
        <v>45643</v>
      </c>
      <c r="B55">
        <v>0</v>
      </c>
      <c r="C55">
        <v>0</v>
      </c>
      <c r="D55" s="9">
        <v>0</v>
      </c>
    </row>
    <row r="56" spans="1:4" x14ac:dyDescent="0.3">
      <c r="A56" s="1">
        <v>45644</v>
      </c>
      <c r="B56">
        <v>0</v>
      </c>
      <c r="C56">
        <v>0</v>
      </c>
      <c r="D56" s="9">
        <v>0</v>
      </c>
    </row>
    <row r="57" spans="1:4" x14ac:dyDescent="0.3">
      <c r="A57" s="1">
        <v>45645</v>
      </c>
      <c r="B57">
        <v>0</v>
      </c>
      <c r="C57">
        <v>0</v>
      </c>
      <c r="D57" s="9">
        <v>0</v>
      </c>
    </row>
    <row r="58" spans="1:4" x14ac:dyDescent="0.3">
      <c r="A58" s="1">
        <v>45646</v>
      </c>
      <c r="B58">
        <v>0</v>
      </c>
      <c r="C58">
        <v>0</v>
      </c>
      <c r="D58" s="9">
        <v>0</v>
      </c>
    </row>
    <row r="59" spans="1:4" x14ac:dyDescent="0.3">
      <c r="A59" s="1">
        <v>45647</v>
      </c>
      <c r="B59">
        <v>0</v>
      </c>
      <c r="C59">
        <v>0</v>
      </c>
      <c r="D59" s="9">
        <v>0</v>
      </c>
    </row>
    <row r="60" spans="1:4" x14ac:dyDescent="0.3">
      <c r="A60" s="1">
        <v>45648</v>
      </c>
      <c r="B60">
        <v>0</v>
      </c>
      <c r="C60">
        <v>0</v>
      </c>
      <c r="D60" s="9">
        <v>0</v>
      </c>
    </row>
    <row r="61" spans="1:4" x14ac:dyDescent="0.3">
      <c r="A61" s="1">
        <v>45649</v>
      </c>
      <c r="B61">
        <v>0</v>
      </c>
      <c r="C61">
        <v>0</v>
      </c>
      <c r="D61" s="9">
        <v>0</v>
      </c>
    </row>
    <row r="62" spans="1:4" x14ac:dyDescent="0.3">
      <c r="A62" s="1">
        <v>45650</v>
      </c>
      <c r="B62">
        <v>0</v>
      </c>
      <c r="C62">
        <v>0</v>
      </c>
      <c r="D62" s="9">
        <v>0</v>
      </c>
    </row>
    <row r="63" spans="1:4" x14ac:dyDescent="0.3">
      <c r="A63" s="1">
        <v>45651</v>
      </c>
      <c r="B63">
        <v>0</v>
      </c>
      <c r="C63">
        <v>0</v>
      </c>
      <c r="D63" s="9">
        <v>0</v>
      </c>
    </row>
    <row r="64" spans="1:4" x14ac:dyDescent="0.3">
      <c r="A64" s="1">
        <v>45652</v>
      </c>
      <c r="B64">
        <v>0</v>
      </c>
      <c r="C64">
        <v>0</v>
      </c>
      <c r="D64" s="9">
        <v>0</v>
      </c>
    </row>
    <row r="65" spans="1:4" x14ac:dyDescent="0.3">
      <c r="A65" s="1">
        <v>45653</v>
      </c>
      <c r="B65">
        <v>0</v>
      </c>
      <c r="C65">
        <v>0</v>
      </c>
      <c r="D65" s="9">
        <v>0</v>
      </c>
    </row>
    <row r="66" spans="1:4" x14ac:dyDescent="0.3">
      <c r="A66" s="1">
        <v>45654</v>
      </c>
      <c r="B66">
        <v>0</v>
      </c>
      <c r="C66">
        <v>0</v>
      </c>
      <c r="D66" s="9">
        <v>0</v>
      </c>
    </row>
    <row r="67" spans="1:4" x14ac:dyDescent="0.3">
      <c r="A67" s="1">
        <v>45655</v>
      </c>
      <c r="B67">
        <v>0</v>
      </c>
      <c r="C67">
        <v>0</v>
      </c>
      <c r="D67" s="9">
        <v>0</v>
      </c>
    </row>
    <row r="68" spans="1:4" x14ac:dyDescent="0.3">
      <c r="A68" s="1">
        <v>45656</v>
      </c>
      <c r="B68">
        <v>0</v>
      </c>
      <c r="C68">
        <v>0</v>
      </c>
      <c r="D68" s="9">
        <v>0</v>
      </c>
    </row>
    <row r="69" spans="1:4" x14ac:dyDescent="0.3">
      <c r="A69" s="1">
        <v>45657</v>
      </c>
      <c r="B69">
        <v>0</v>
      </c>
      <c r="C69">
        <v>0</v>
      </c>
      <c r="D69" s="9">
        <v>0</v>
      </c>
    </row>
    <row r="70" spans="1:4" x14ac:dyDescent="0.3">
      <c r="A70" s="1">
        <v>45658</v>
      </c>
      <c r="B70">
        <v>0</v>
      </c>
      <c r="C70">
        <v>0</v>
      </c>
      <c r="D70" s="9">
        <v>0</v>
      </c>
    </row>
    <row r="71" spans="1:4" x14ac:dyDescent="0.3">
      <c r="A71" s="1">
        <v>45659</v>
      </c>
      <c r="B71">
        <v>0</v>
      </c>
      <c r="C71">
        <v>0</v>
      </c>
      <c r="D71" s="9">
        <v>0</v>
      </c>
    </row>
    <row r="72" spans="1:4" x14ac:dyDescent="0.3">
      <c r="A72" s="1">
        <v>45660</v>
      </c>
      <c r="B72">
        <v>0</v>
      </c>
      <c r="C72">
        <v>0</v>
      </c>
      <c r="D72" s="9">
        <v>0</v>
      </c>
    </row>
    <row r="73" spans="1:4" x14ac:dyDescent="0.3">
      <c r="A73" s="1">
        <v>45661</v>
      </c>
      <c r="B73">
        <v>0</v>
      </c>
      <c r="C73">
        <v>0</v>
      </c>
      <c r="D73" s="9">
        <v>0</v>
      </c>
    </row>
    <row r="74" spans="1:4" x14ac:dyDescent="0.3">
      <c r="A74" s="1">
        <v>45662</v>
      </c>
      <c r="B74">
        <v>0</v>
      </c>
      <c r="C74">
        <v>0</v>
      </c>
      <c r="D74" s="9">
        <v>0</v>
      </c>
    </row>
    <row r="75" spans="1:4" x14ac:dyDescent="0.3">
      <c r="A75" s="1">
        <v>45663</v>
      </c>
      <c r="B75">
        <v>0</v>
      </c>
      <c r="C75">
        <v>0</v>
      </c>
      <c r="D75" s="9">
        <v>0</v>
      </c>
    </row>
    <row r="76" spans="1:4" x14ac:dyDescent="0.3">
      <c r="A76" s="1">
        <v>45664</v>
      </c>
      <c r="B76">
        <v>0</v>
      </c>
      <c r="C76">
        <v>0</v>
      </c>
      <c r="D76" s="9">
        <v>0</v>
      </c>
    </row>
    <row r="77" spans="1:4" x14ac:dyDescent="0.3">
      <c r="A77" s="1">
        <v>45665</v>
      </c>
      <c r="B77">
        <v>0</v>
      </c>
      <c r="C77">
        <v>0</v>
      </c>
      <c r="D77" s="9">
        <v>0</v>
      </c>
    </row>
    <row r="78" spans="1:4" x14ac:dyDescent="0.3">
      <c r="A78" s="1">
        <v>45666</v>
      </c>
      <c r="B78">
        <v>0</v>
      </c>
      <c r="C78">
        <v>0</v>
      </c>
      <c r="D78" s="9">
        <v>0</v>
      </c>
    </row>
    <row r="79" spans="1:4" x14ac:dyDescent="0.3">
      <c r="A79" s="1">
        <v>45667</v>
      </c>
      <c r="B79">
        <v>0</v>
      </c>
      <c r="C79">
        <v>0</v>
      </c>
      <c r="D79" s="9">
        <v>0</v>
      </c>
    </row>
    <row r="80" spans="1:4" x14ac:dyDescent="0.3">
      <c r="A80" s="1">
        <v>45668</v>
      </c>
      <c r="B80">
        <v>0</v>
      </c>
      <c r="C80">
        <v>0</v>
      </c>
      <c r="D80" s="9">
        <v>0</v>
      </c>
    </row>
    <row r="81" spans="1:4" x14ac:dyDescent="0.3">
      <c r="A81" s="1">
        <v>45669</v>
      </c>
      <c r="B81">
        <v>0</v>
      </c>
      <c r="C81">
        <v>0</v>
      </c>
      <c r="D81" s="9">
        <v>0</v>
      </c>
    </row>
    <row r="82" spans="1:4" x14ac:dyDescent="0.3">
      <c r="A82" s="1">
        <v>45670</v>
      </c>
      <c r="B82">
        <v>0</v>
      </c>
      <c r="C82">
        <v>0</v>
      </c>
      <c r="D82" s="9">
        <v>0</v>
      </c>
    </row>
    <row r="83" spans="1:4" x14ac:dyDescent="0.3">
      <c r="A83" s="1">
        <v>45671</v>
      </c>
      <c r="B83">
        <v>0</v>
      </c>
      <c r="C83">
        <v>0</v>
      </c>
      <c r="D83" s="9">
        <v>0</v>
      </c>
    </row>
    <row r="84" spans="1:4" x14ac:dyDescent="0.3">
      <c r="A84" s="1">
        <v>45672</v>
      </c>
      <c r="B84">
        <v>0</v>
      </c>
      <c r="C84">
        <v>0</v>
      </c>
      <c r="D84" s="9">
        <v>0</v>
      </c>
    </row>
    <row r="85" spans="1:4" x14ac:dyDescent="0.3">
      <c r="A85" s="1">
        <v>45673</v>
      </c>
      <c r="B85">
        <v>0</v>
      </c>
      <c r="C85">
        <v>0</v>
      </c>
      <c r="D85" s="9">
        <v>0</v>
      </c>
    </row>
    <row r="86" spans="1:4" x14ac:dyDescent="0.3">
      <c r="A86" s="1">
        <v>45674</v>
      </c>
      <c r="B86">
        <v>0</v>
      </c>
      <c r="C86">
        <v>0</v>
      </c>
      <c r="D86" s="9">
        <v>0</v>
      </c>
    </row>
    <row r="87" spans="1:4" x14ac:dyDescent="0.3">
      <c r="A87" s="1">
        <v>45675</v>
      </c>
      <c r="B87">
        <v>0</v>
      </c>
      <c r="C87">
        <v>0</v>
      </c>
      <c r="D87" s="9">
        <v>0</v>
      </c>
    </row>
    <row r="88" spans="1:4" x14ac:dyDescent="0.3">
      <c r="A88" s="1">
        <v>45676</v>
      </c>
      <c r="B88">
        <v>0</v>
      </c>
      <c r="C88">
        <v>0</v>
      </c>
      <c r="D88" s="9">
        <v>0</v>
      </c>
    </row>
    <row r="89" spans="1:4" x14ac:dyDescent="0.3">
      <c r="A89" s="1">
        <v>45677</v>
      </c>
      <c r="B89">
        <v>0</v>
      </c>
      <c r="C89">
        <v>0</v>
      </c>
      <c r="D89" s="9">
        <v>0</v>
      </c>
    </row>
    <row r="90" spans="1:4" x14ac:dyDescent="0.3">
      <c r="A90" s="1">
        <v>45678</v>
      </c>
      <c r="B90">
        <v>0</v>
      </c>
      <c r="C90">
        <v>0</v>
      </c>
      <c r="D90" s="9">
        <v>0</v>
      </c>
    </row>
    <row r="91" spans="1:4" x14ac:dyDescent="0.3">
      <c r="A91" s="1">
        <v>45679</v>
      </c>
      <c r="B91">
        <v>0</v>
      </c>
      <c r="C91">
        <v>0</v>
      </c>
      <c r="D91" s="9">
        <v>0</v>
      </c>
    </row>
    <row r="92" spans="1:4" x14ac:dyDescent="0.3">
      <c r="A92" s="1">
        <v>45680</v>
      </c>
      <c r="B92">
        <v>0</v>
      </c>
      <c r="C92">
        <v>0</v>
      </c>
      <c r="D92" s="9">
        <v>0</v>
      </c>
    </row>
    <row r="93" spans="1:4" x14ac:dyDescent="0.3">
      <c r="A93" s="1">
        <v>45681</v>
      </c>
      <c r="B93">
        <v>0</v>
      </c>
      <c r="C93">
        <v>0</v>
      </c>
      <c r="D93" s="9">
        <v>0</v>
      </c>
    </row>
    <row r="94" spans="1:4" x14ac:dyDescent="0.3">
      <c r="A94" s="1">
        <v>45682</v>
      </c>
      <c r="B94">
        <v>69</v>
      </c>
      <c r="C94">
        <v>15</v>
      </c>
      <c r="D94" s="9">
        <f t="shared" ref="D94" si="2">B94/(B94+C94)</f>
        <v>0.8214285714285714</v>
      </c>
    </row>
    <row r="95" spans="1:4" x14ac:dyDescent="0.3">
      <c r="A95" s="1">
        <v>45683</v>
      </c>
      <c r="B95">
        <v>0</v>
      </c>
      <c r="C95">
        <v>0</v>
      </c>
      <c r="D95" s="9">
        <v>0</v>
      </c>
    </row>
    <row r="96" spans="1:4" x14ac:dyDescent="0.3">
      <c r="A96" s="1">
        <v>45684</v>
      </c>
      <c r="B96">
        <v>0</v>
      </c>
      <c r="C96">
        <v>0</v>
      </c>
      <c r="D96" s="9">
        <v>0</v>
      </c>
    </row>
    <row r="97" spans="1:4" x14ac:dyDescent="0.3">
      <c r="A97" s="1">
        <v>45685</v>
      </c>
      <c r="B97">
        <v>0</v>
      </c>
      <c r="C97">
        <v>0</v>
      </c>
      <c r="D97" s="9">
        <v>0</v>
      </c>
    </row>
    <row r="98" spans="1:4" x14ac:dyDescent="0.3">
      <c r="A98" s="1">
        <v>45686</v>
      </c>
      <c r="B98">
        <v>0</v>
      </c>
      <c r="C98">
        <v>0</v>
      </c>
      <c r="D98" s="9">
        <v>0</v>
      </c>
    </row>
    <row r="99" spans="1:4" x14ac:dyDescent="0.3">
      <c r="A99" s="1">
        <v>45687</v>
      </c>
      <c r="B99">
        <v>0</v>
      </c>
      <c r="C99">
        <v>0</v>
      </c>
      <c r="D99" s="9">
        <v>0</v>
      </c>
    </row>
    <row r="100" spans="1:4" x14ac:dyDescent="0.3">
      <c r="A100" s="1">
        <v>45688</v>
      </c>
      <c r="B100">
        <v>0</v>
      </c>
      <c r="C100">
        <v>0</v>
      </c>
      <c r="D100" s="9">
        <v>0</v>
      </c>
    </row>
    <row r="101" spans="1:4" x14ac:dyDescent="0.3">
      <c r="A101" s="1">
        <v>45689</v>
      </c>
      <c r="B101">
        <v>0</v>
      </c>
      <c r="C101">
        <v>0</v>
      </c>
      <c r="D101" s="9">
        <v>0</v>
      </c>
    </row>
    <row r="102" spans="1:4" x14ac:dyDescent="0.3">
      <c r="A102" s="1">
        <v>45690</v>
      </c>
      <c r="B102">
        <v>0</v>
      </c>
      <c r="C102">
        <v>0</v>
      </c>
      <c r="D102" s="9">
        <v>0</v>
      </c>
    </row>
    <row r="103" spans="1:4" x14ac:dyDescent="0.3">
      <c r="A103" s="1">
        <v>45691</v>
      </c>
      <c r="B103">
        <v>0</v>
      </c>
      <c r="C103">
        <v>0</v>
      </c>
      <c r="D103" s="9">
        <v>0</v>
      </c>
    </row>
    <row r="104" spans="1:4" x14ac:dyDescent="0.3">
      <c r="A104" s="1">
        <v>45692</v>
      </c>
      <c r="B104">
        <v>0</v>
      </c>
      <c r="C104">
        <v>0</v>
      </c>
      <c r="D104" s="9">
        <v>0</v>
      </c>
    </row>
    <row r="105" spans="1:4" x14ac:dyDescent="0.3">
      <c r="A105" s="1">
        <v>45693</v>
      </c>
      <c r="B105">
        <v>0</v>
      </c>
      <c r="C105">
        <v>0</v>
      </c>
      <c r="D105" s="9">
        <v>0</v>
      </c>
    </row>
    <row r="106" spans="1:4" x14ac:dyDescent="0.3">
      <c r="A106" s="1">
        <v>45694</v>
      </c>
      <c r="B106">
        <v>0</v>
      </c>
      <c r="C106">
        <v>0</v>
      </c>
      <c r="D106" s="9">
        <v>0</v>
      </c>
    </row>
    <row r="107" spans="1:4" x14ac:dyDescent="0.3">
      <c r="A107" s="1">
        <v>45695</v>
      </c>
      <c r="B107">
        <v>0</v>
      </c>
      <c r="C107">
        <v>0</v>
      </c>
      <c r="D107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Overall</vt:lpstr>
      <vt:lpstr>TrustedPoint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Хижняк</dc:creator>
  <cp:lastModifiedBy>Даниил Хижняк</cp:lastModifiedBy>
  <dcterms:created xsi:type="dcterms:W3CDTF">2025-01-03T03:42:52Z</dcterms:created>
  <dcterms:modified xsi:type="dcterms:W3CDTF">2025-01-03T05:01:08Z</dcterms:modified>
</cp:coreProperties>
</file>